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cker" state="visible" r:id="rId4"/>
    <sheet sheetId="2" name="Progress" state="visible" r:id="rId5"/>
  </sheets>
  <calcPr calcId="171027"/>
</workbook>
</file>

<file path=xl/sharedStrings.xml><?xml version="1.0" encoding="utf-8"?>
<sst xmlns="http://schemas.openxmlformats.org/spreadsheetml/2006/main" count="668" uniqueCount="142">
  <si>
    <t>#</t>
  </si>
  <si>
    <t>Тиждень</t>
  </si>
  <si>
    <t>Завдання</t>
  </si>
  <si>
    <t>Хто</t>
  </si>
  <si>
    <t>Статус</t>
  </si>
  <si>
    <t>Пріоритет</t>
  </si>
  <si>
    <t>Нотатки</t>
  </si>
  <si>
    <t/>
  </si>
  <si>
    <t>Готово (Setup)</t>
  </si>
  <si>
    <t>Setup</t>
  </si>
  <si>
    <t>Docker-середовище (nginx + PHP 8.3 + MariaDB + Redis + MailHog)</t>
  </si>
  <si>
    <t>Dev 1</t>
  </si>
  <si>
    <t>Done</t>
  </si>
  <si>
    <t>High</t>
  </si>
  <si>
    <t>composer.json з усіма модулями</t>
  </si>
  <si>
    <t>Скрипти install.sh / start.sh</t>
  </si>
  <si>
    <t>.gitattributes / .gitignore / .env.example</t>
  </si>
  <si>
    <t>Medium</t>
  </si>
  <si>
    <t>Git-репо + GitHub push</t>
  </si>
  <si>
    <t>PROJECT_PLAN.md — повний технічний план</t>
  </si>
  <si>
    <t>Drupal встановлено на localhost</t>
  </si>
  <si>
    <t>Тиждень 1 — Спільний фундамент</t>
  </si>
  <si>
    <t>Тижд.1</t>
  </si>
  <si>
    <t>Включити та налаштувати всі модулі</t>
  </si>
  <si>
    <t>Разом</t>
  </si>
  <si>
    <t>Not Started</t>
  </si>
  <si>
    <t>Config export/import воркфлоу</t>
  </si>
  <si>
    <t>Таксономія product_category</t>
  </si>
  <si>
    <t>Таксономія industry_tax</t>
  </si>
  <si>
    <t>Таксономія state_province (50 штатів + 13 провінцій)</t>
  </si>
  <si>
    <t>13 стилів зображень (за PROJECT_PLAN §7.7)</t>
  </si>
  <si>
    <t>Головне меню — повна структура</t>
  </si>
  <si>
    <t>Тема bearcom — каркас (info.yml, libraries.yml)</t>
  </si>
  <si>
    <t>CSS-змінні, ресет, типографіка H1-H5, сітка</t>
  </si>
  <si>
    <t>Хедер — top bar + навігація + Contact Us</t>
  </si>
  <si>
    <t>Мега-меню — ховер-дропдауни + JS</t>
  </si>
  <si>
    <t>Пошук в хедері</t>
  </si>
  <si>
    <t>Футер повний + мінімальний</t>
  </si>
  <si>
    <t>Мобільне меню — оверлей + акордеон + CTA</t>
  </si>
  <si>
    <t>drush cex → git push (зафіксувати базу)</t>
  </si>
  <si>
    <t>Тиждень 2 — Dev 1: Головна / Dev 2: Індустрії</t>
  </si>
  <si>
    <t>Тижд.2</t>
  </si>
  <si>
    <t>CT flexible_page з усіма полями</t>
  </si>
  <si>
    <t>Параграфи: hero_banner, cta_block, card_grid, card_item</t>
  </si>
  <si>
    <t>Параграфи: stats_counter, stat_item, rentals_connected</t>
  </si>
  <si>
    <t>Параграфи: guided_journey, gj_tab, checklist_item</t>
  </si>
  <si>
    <t>Нода Homepage → front page</t>
  </si>
  <si>
    <t>Шаблони: Hero, CTA, Card Grid, Stats, Guided Journey, Rentals</t>
  </si>
  <si>
    <t>JS: stats-counter.js, tabs.js</t>
  </si>
  <si>
    <t>ЗІБРАТИ ГОЛОВНУ СТОРІНКУ</t>
  </si>
  <si>
    <t>CT industry (icon, hero, body, solutions, cta)</t>
  </si>
  <si>
    <t>Dev 2</t>
  </si>
  <si>
    <t>Параграф content_block (title, body, image, layout L/R)</t>
  </si>
  <si>
    <t>View industries_listing (Grid 3x3)</t>
  </si>
  <si>
    <t>3 тестові індустрії</t>
  </si>
  <si>
    <t>Industry Card teaser + Content Block L/R шаблони</t>
  </si>
  <si>
    <t>ЗІБРАТИ: батьківську індустрій + сторінку індустрії</t>
  </si>
  <si>
    <t>Тиждень 3 — Dev 1: Каталог / Dev 2: Сервіс</t>
  </si>
  <si>
    <t>Тижд.3</t>
  </si>
  <si>
    <t>CT product з усіма полями</t>
  </si>
  <si>
    <t>View products_listing (BEF + AJAX + pager)</t>
  </si>
  <si>
    <t>3-5 тестових товарів</t>
  </si>
  <si>
    <t>Product Card + Filter Sidebar + Pagination</t>
  </si>
  <si>
    <t>ЗІБРАТИ КАТАЛОГ</t>
  </si>
  <si>
    <t>CT service (hero, content blocks, video, faq, cta)</t>
  </si>
  <si>
    <t>Параграф faq_item (question + answer)</t>
  </si>
  <si>
    <t>2 тестові сервіси</t>
  </si>
  <si>
    <t>FAQ Accordion шаблон + accordion.js</t>
  </si>
  <si>
    <t>ЗІБРАТИ СТОРІНКУ СЕРВІСУ</t>
  </si>
  <si>
    <t>Тиждень 4 — Dev 1: Товар / Dev 2: Локації (бекенд)</t>
  </si>
  <si>
    <t>Тижд.4</t>
  </si>
  <si>
    <t>Параграфи: spec_table, spec_row, accessories_grid, video_block</t>
  </si>
  <si>
    <t>Product — Field Group для адмінки</t>
  </si>
  <si>
    <t>View related_products (block, same category)</t>
  </si>
  <si>
    <t>2-3 повністю заповнених товари</t>
  </si>
  <si>
    <t>Табова навігація + smooth-scroll.js + галерея</t>
  </si>
  <si>
    <t>Spec Table + Accessories Grid + карусель JS</t>
  </si>
  <si>
    <t>ЗІБРАТИ СТОРІНКУ ТОВАРУ</t>
  </si>
  <si>
    <t>CT location (address, phone, state, geofield, hours, images, faq)</t>
  </si>
  <si>
    <t>Параграф open_hours_row</t>
  </si>
  <si>
    <t>Geofield + Leaflet налаштування</t>
  </si>
  <si>
    <t>View locations_directory (grouped by state)</t>
  </si>
  <si>
    <t>Кастомний модуль bearcom_locations (REST API)</t>
  </si>
  <si>
    <t>Тиждень 5 — Dev 1: Стаття / Dev 2: Локації (фронтенд)</t>
  </si>
  <si>
    <t>Тижд.5</t>
  </si>
  <si>
    <t>CT article (hero_image, hero_style, body, cta)</t>
  </si>
  <si>
    <t>2 тестові статті</t>
  </si>
  <si>
    <t>Шаблон Article v1 (image hero) + v2 (blue hero)</t>
  </si>
  <si>
    <t>Share Buttons компонент</t>
  </si>
  <si>
    <t>Low</t>
  </si>
  <si>
    <t>Нода Location Parent (flexible_page) на /locations</t>
  </si>
  <si>
    <t>3-5 тестових локацій</t>
  </si>
  <si>
    <t>Location Card + Open Hours Table шаблони</t>
  </si>
  <si>
    <t>location-search.js — AJAX + Leaflet карта</t>
  </si>
  <si>
    <t>State Directory (5 колонок)</t>
  </si>
  <si>
    <t>Metatag — SEO для всіх CT</t>
  </si>
  <si>
    <t>ЗІБРАТИ: батьківську локацій + локацію v1/v2</t>
  </si>
  <si>
    <t>Тиждень 6 — Dev 1: LP + Пошук / Dev 2: Контакти</t>
  </si>
  <si>
    <t>Тижд.6</t>
  </si>
  <si>
    <t>CT landing_page з усіма полями</t>
  </si>
  <si>
    <t>Webform lead_capture</t>
  </si>
  <si>
    <t>Search API — DB backend + індексація</t>
  </si>
  <si>
    <t>View search_results (highlight + pager)</t>
  </si>
  <si>
    <t>Pathauto-патерни для всіх CT</t>
  </si>
  <si>
    <t>ЗІБРАТИ: Paid Search LP + сторінку пошуку</t>
  </si>
  <si>
    <t>Webform contact_us (reCAPTCHA, AJAX, модалка)</t>
  </si>
  <si>
    <t>Нода Contact Us (flexible_page) на /contact-us</t>
  </si>
  <si>
    <t>ЗІБРАТИ КОНТАКТИ — текст + переваги + форма</t>
  </si>
  <si>
    <t>Стилізація Webform</t>
  </si>
  <si>
    <t>Тиждень 7 — Dev 1: резерв / Dev 2: 403+404</t>
  </si>
  <si>
    <t>Тижд.7</t>
  </si>
  <si>
    <t>Допрацювання / виправлення по своїх сторінках</t>
  </si>
  <si>
    <t>ЗІБРАТИ 403 + 404 сторінки</t>
  </si>
  <si>
    <t>Тижні 8-9 — Адаптив (кожен свої сторінки)</t>
  </si>
  <si>
    <t>Тижд.8-9</t>
  </si>
  <si>
    <t>Адаптив: Головна, Каталог, Товар, Стаття, LP, Пошук</t>
  </si>
  <si>
    <t>Адаптив: Індустрії, Сервіс, Локації, Контакти, 403, 404</t>
  </si>
  <si>
    <t>Планшет (768-1024px) — свої сторінки</t>
  </si>
  <si>
    <t>Ховер/active/focus стани — свої сторінки</t>
  </si>
  <si>
    <t>Тиждень 10 — Спільне полірування + QA</t>
  </si>
  <si>
    <t>Тижд.10</t>
  </si>
  <si>
    <t>Config export + config_split (dev/prod)</t>
  </si>
  <si>
    <t>Redis як кеш-бекенд</t>
  </si>
  <si>
    <t>CSS/JS агрегація, lazy loading</t>
  </si>
  <si>
    <t>Robots.txt, sitemap.xml</t>
  </si>
  <si>
    <t>Ревю безпеки: права, формати, обмеження</t>
  </si>
  <si>
    <t>Кросбраузерне тестування</t>
  </si>
  <si>
    <t>Accessibility: ARIA, клавіатура, контраст</t>
  </si>
  <si>
    <t>Фінальне QA — всі 15 сторінок разом</t>
  </si>
  <si>
    <t>Всього</t>
  </si>
  <si>
    <t>Готово</t>
  </si>
  <si>
    <t>% Готово</t>
  </si>
  <si>
    <t>Тиждень 1</t>
  </si>
  <si>
    <t>Тиждень 2</t>
  </si>
  <si>
    <t>Тиждень 3</t>
  </si>
  <si>
    <t>Тиждень 4</t>
  </si>
  <si>
    <t>Тиждень 5</t>
  </si>
  <si>
    <t>Тиждень 6</t>
  </si>
  <si>
    <t>Тиждень 7</t>
  </si>
  <si>
    <t>Тижні 8-9</t>
  </si>
  <si>
    <t>Тиждень 10</t>
  </si>
  <si>
    <t>РАЗОМ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</si>
</sst>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b/>
      <color rgb="FF22262C"/>
      <sz val="11"/>
      <name val="Arial"/>
    </font>
    <font>
      <color rgb="FF666666"/>
      <sz val="10"/>
      <name val="Arial"/>
    </font>
    <font>
      <b/>
      <color rgb="FFCC0000"/>
      <sz val="10"/>
      <name val="Arial"/>
    </font>
    <font>
      <color rgb="FF996600"/>
      <sz val="10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FC5000"/>
      </patternFill>
    </fill>
    <fill>
      <patternFill patternType="solid">
        <fgColor rgb="FFE8E8E8"/>
      </patternFill>
    </fill>
    <fill>
      <patternFill patternType="solid">
        <fgColor rgb="FFD5F5D5"/>
      </patternFill>
    </fill>
    <fill>
      <patternFill patternType="solid">
        <fgColor rgb="FF22262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9" fontId="1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0" customWidth="1"/>
    <col min="3" max="3" width="58" customWidth="1"/>
    <col min="4" max="4" width="12" customWidth="1"/>
    <col min="5" max="5" width="14" customWidth="1"/>
    <col min="6" max="6" width="11" customWidth="1"/>
    <col min="7" max="7" width="30" customWidth="1"/>
  </cols>
  <sheetData>
    <row r="1" ht="28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6" customHeight="1" spans="1:7" x14ac:dyDescent="0.25">
      <c r="A2" s="2" t="s">
        <v>7</v>
      </c>
      <c r="B2" s="3" t="s">
        <v>8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  <row r="3" ht="20" customHeight="1" spans="1:7" x14ac:dyDescent="0.25">
      <c r="A3" s="4">
        <v>1</v>
      </c>
      <c r="B3" s="5" t="s">
        <v>9</v>
      </c>
      <c r="C3" s="5" t="s">
        <v>10</v>
      </c>
      <c r="D3" s="4" t="s">
        <v>11</v>
      </c>
      <c r="E3" s="4" t="s">
        <v>12</v>
      </c>
      <c r="F3" s="6" t="s">
        <v>13</v>
      </c>
      <c r="G3" s="5" t="s">
        <v>7</v>
      </c>
    </row>
    <row r="4" ht="20" customHeight="1" spans="1:7" x14ac:dyDescent="0.25">
      <c r="A4" s="4">
        <v>2</v>
      </c>
      <c r="B4" s="5" t="s">
        <v>9</v>
      </c>
      <c r="C4" s="5" t="s">
        <v>14</v>
      </c>
      <c r="D4" s="4" t="s">
        <v>11</v>
      </c>
      <c r="E4" s="4" t="s">
        <v>12</v>
      </c>
      <c r="F4" s="6" t="s">
        <v>13</v>
      </c>
      <c r="G4" s="5" t="s">
        <v>7</v>
      </c>
    </row>
    <row r="5" ht="20" customHeight="1" spans="1:7" x14ac:dyDescent="0.25">
      <c r="A5" s="4">
        <v>3</v>
      </c>
      <c r="B5" s="5" t="s">
        <v>9</v>
      </c>
      <c r="C5" s="5" t="s">
        <v>15</v>
      </c>
      <c r="D5" s="4" t="s">
        <v>11</v>
      </c>
      <c r="E5" s="4" t="s">
        <v>12</v>
      </c>
      <c r="F5" s="6" t="s">
        <v>13</v>
      </c>
      <c r="G5" s="5" t="s">
        <v>7</v>
      </c>
    </row>
    <row r="6" ht="20" customHeight="1" spans="1:7" x14ac:dyDescent="0.25">
      <c r="A6" s="4">
        <v>4</v>
      </c>
      <c r="B6" s="5" t="s">
        <v>9</v>
      </c>
      <c r="C6" s="5" t="s">
        <v>16</v>
      </c>
      <c r="D6" s="4" t="s">
        <v>11</v>
      </c>
      <c r="E6" s="4" t="s">
        <v>12</v>
      </c>
      <c r="F6" s="7" t="s">
        <v>17</v>
      </c>
      <c r="G6" s="5" t="s">
        <v>7</v>
      </c>
    </row>
    <row r="7" ht="20" customHeight="1" spans="1:7" x14ac:dyDescent="0.25">
      <c r="A7" s="4">
        <v>5</v>
      </c>
      <c r="B7" s="5" t="s">
        <v>9</v>
      </c>
      <c r="C7" s="5" t="s">
        <v>18</v>
      </c>
      <c r="D7" s="4" t="s">
        <v>11</v>
      </c>
      <c r="E7" s="4" t="s">
        <v>12</v>
      </c>
      <c r="F7" s="6" t="s">
        <v>13</v>
      </c>
      <c r="G7" s="5" t="s">
        <v>7</v>
      </c>
    </row>
    <row r="8" ht="20" customHeight="1" spans="1:7" x14ac:dyDescent="0.25">
      <c r="A8" s="4">
        <v>6</v>
      </c>
      <c r="B8" s="5" t="s">
        <v>9</v>
      </c>
      <c r="C8" s="5" t="s">
        <v>19</v>
      </c>
      <c r="D8" s="4" t="s">
        <v>11</v>
      </c>
      <c r="E8" s="4" t="s">
        <v>12</v>
      </c>
      <c r="F8" s="6" t="s">
        <v>13</v>
      </c>
      <c r="G8" s="5" t="s">
        <v>7</v>
      </c>
    </row>
    <row r="9" ht="20" customHeight="1" spans="1:7" x14ac:dyDescent="0.25">
      <c r="A9" s="4">
        <v>7</v>
      </c>
      <c r="B9" s="5" t="s">
        <v>9</v>
      </c>
      <c r="C9" s="5" t="s">
        <v>20</v>
      </c>
      <c r="D9" s="4" t="s">
        <v>11</v>
      </c>
      <c r="E9" s="4" t="s">
        <v>12</v>
      </c>
      <c r="F9" s="6" t="s">
        <v>13</v>
      </c>
      <c r="G9" s="5" t="s">
        <v>7</v>
      </c>
    </row>
    <row r="10" ht="26" customHeight="1" spans="1:7" x14ac:dyDescent="0.25">
      <c r="A10" s="2" t="s">
        <v>7</v>
      </c>
      <c r="B10" s="3" t="s">
        <v>21</v>
      </c>
      <c r="C10" s="2" t="s">
        <v>7</v>
      </c>
      <c r="D10" s="2" t="s">
        <v>7</v>
      </c>
      <c r="E10" s="2" t="s">
        <v>7</v>
      </c>
      <c r="F10" s="2" t="s">
        <v>7</v>
      </c>
      <c r="G10" s="2" t="s">
        <v>7</v>
      </c>
    </row>
    <row r="11" ht="20" customHeight="1" spans="1:7" x14ac:dyDescent="0.25">
      <c r="A11" s="8">
        <v>8</v>
      </c>
      <c r="B11" s="9" t="s">
        <v>22</v>
      </c>
      <c r="C11" s="9" t="s">
        <v>23</v>
      </c>
      <c r="D11" s="8" t="s">
        <v>24</v>
      </c>
      <c r="E11" s="8" t="s">
        <v>25</v>
      </c>
      <c r="F11" s="10" t="s">
        <v>13</v>
      </c>
      <c r="G11" s="9" t="s">
        <v>7</v>
      </c>
    </row>
    <row r="12" ht="20" customHeight="1" spans="1:7" x14ac:dyDescent="0.25">
      <c r="A12" s="8">
        <v>9</v>
      </c>
      <c r="B12" s="9" t="s">
        <v>22</v>
      </c>
      <c r="C12" s="9" t="s">
        <v>26</v>
      </c>
      <c r="D12" s="8" t="s">
        <v>24</v>
      </c>
      <c r="E12" s="8" t="s">
        <v>25</v>
      </c>
      <c r="F12" s="10" t="s">
        <v>13</v>
      </c>
      <c r="G12" s="9" t="s">
        <v>7</v>
      </c>
    </row>
    <row r="13" ht="20" customHeight="1" spans="1:7" x14ac:dyDescent="0.25">
      <c r="A13" s="8">
        <v>10</v>
      </c>
      <c r="B13" s="9" t="s">
        <v>22</v>
      </c>
      <c r="C13" s="9" t="s">
        <v>27</v>
      </c>
      <c r="D13" s="8" t="s">
        <v>24</v>
      </c>
      <c r="E13" s="8" t="s">
        <v>25</v>
      </c>
      <c r="F13" s="10" t="s">
        <v>13</v>
      </c>
      <c r="G13" s="9" t="s">
        <v>7</v>
      </c>
    </row>
    <row r="14" ht="20" customHeight="1" spans="1:7" x14ac:dyDescent="0.25">
      <c r="A14" s="8">
        <v>11</v>
      </c>
      <c r="B14" s="9" t="s">
        <v>22</v>
      </c>
      <c r="C14" s="9" t="s">
        <v>28</v>
      </c>
      <c r="D14" s="8" t="s">
        <v>24</v>
      </c>
      <c r="E14" s="8" t="s">
        <v>25</v>
      </c>
      <c r="F14" s="10" t="s">
        <v>13</v>
      </c>
      <c r="G14" s="9" t="s">
        <v>7</v>
      </c>
    </row>
    <row r="15" ht="20" customHeight="1" spans="1:7" x14ac:dyDescent="0.25">
      <c r="A15" s="8">
        <v>12</v>
      </c>
      <c r="B15" s="9" t="s">
        <v>22</v>
      </c>
      <c r="C15" s="9" t="s">
        <v>29</v>
      </c>
      <c r="D15" s="8" t="s">
        <v>24</v>
      </c>
      <c r="E15" s="8" t="s">
        <v>25</v>
      </c>
      <c r="F15" s="11" t="s">
        <v>17</v>
      </c>
      <c r="G15" s="9" t="s">
        <v>7</v>
      </c>
    </row>
    <row r="16" ht="20" customHeight="1" spans="1:7" x14ac:dyDescent="0.25">
      <c r="A16" s="8">
        <v>13</v>
      </c>
      <c r="B16" s="9" t="s">
        <v>22</v>
      </c>
      <c r="C16" s="9" t="s">
        <v>30</v>
      </c>
      <c r="D16" s="8" t="s">
        <v>24</v>
      </c>
      <c r="E16" s="8" t="s">
        <v>25</v>
      </c>
      <c r="F16" s="10" t="s">
        <v>13</v>
      </c>
      <c r="G16" s="9" t="s">
        <v>7</v>
      </c>
    </row>
    <row r="17" ht="20" customHeight="1" spans="1:7" x14ac:dyDescent="0.25">
      <c r="A17" s="8">
        <v>14</v>
      </c>
      <c r="B17" s="9" t="s">
        <v>22</v>
      </c>
      <c r="C17" s="9" t="s">
        <v>31</v>
      </c>
      <c r="D17" s="8" t="s">
        <v>24</v>
      </c>
      <c r="E17" s="8" t="s">
        <v>25</v>
      </c>
      <c r="F17" s="10" t="s">
        <v>13</v>
      </c>
      <c r="G17" s="9" t="s">
        <v>7</v>
      </c>
    </row>
    <row r="18" ht="20" customHeight="1" spans="1:7" x14ac:dyDescent="0.25">
      <c r="A18" s="8">
        <v>15</v>
      </c>
      <c r="B18" s="9" t="s">
        <v>22</v>
      </c>
      <c r="C18" s="9" t="s">
        <v>32</v>
      </c>
      <c r="D18" s="8" t="s">
        <v>24</v>
      </c>
      <c r="E18" s="8" t="s">
        <v>25</v>
      </c>
      <c r="F18" s="10" t="s">
        <v>13</v>
      </c>
      <c r="G18" s="9" t="s">
        <v>7</v>
      </c>
    </row>
    <row r="19" ht="20" customHeight="1" spans="1:7" x14ac:dyDescent="0.25">
      <c r="A19" s="8">
        <v>16</v>
      </c>
      <c r="B19" s="9" t="s">
        <v>22</v>
      </c>
      <c r="C19" s="9" t="s">
        <v>33</v>
      </c>
      <c r="D19" s="8" t="s">
        <v>24</v>
      </c>
      <c r="E19" s="8" t="s">
        <v>25</v>
      </c>
      <c r="F19" s="10" t="s">
        <v>13</v>
      </c>
      <c r="G19" s="9" t="s">
        <v>7</v>
      </c>
    </row>
    <row r="20" ht="20" customHeight="1" spans="1:7" x14ac:dyDescent="0.25">
      <c r="A20" s="8">
        <v>17</v>
      </c>
      <c r="B20" s="9" t="s">
        <v>22</v>
      </c>
      <c r="C20" s="9" t="s">
        <v>34</v>
      </c>
      <c r="D20" s="8" t="s">
        <v>24</v>
      </c>
      <c r="E20" s="8" t="s">
        <v>25</v>
      </c>
      <c r="F20" s="10" t="s">
        <v>13</v>
      </c>
      <c r="G20" s="9" t="s">
        <v>7</v>
      </c>
    </row>
    <row r="21" ht="20" customHeight="1" spans="1:7" x14ac:dyDescent="0.25">
      <c r="A21" s="8">
        <v>18</v>
      </c>
      <c r="B21" s="9" t="s">
        <v>22</v>
      </c>
      <c r="C21" s="9" t="s">
        <v>35</v>
      </c>
      <c r="D21" s="8" t="s">
        <v>24</v>
      </c>
      <c r="E21" s="8" t="s">
        <v>25</v>
      </c>
      <c r="F21" s="10" t="s">
        <v>13</v>
      </c>
      <c r="G21" s="9" t="s">
        <v>7</v>
      </c>
    </row>
    <row r="22" ht="20" customHeight="1" spans="1:7" x14ac:dyDescent="0.25">
      <c r="A22" s="8">
        <v>19</v>
      </c>
      <c r="B22" s="9" t="s">
        <v>22</v>
      </c>
      <c r="C22" s="9" t="s">
        <v>36</v>
      </c>
      <c r="D22" s="8" t="s">
        <v>24</v>
      </c>
      <c r="E22" s="8" t="s">
        <v>25</v>
      </c>
      <c r="F22" s="11" t="s">
        <v>17</v>
      </c>
      <c r="G22" s="9" t="s">
        <v>7</v>
      </c>
    </row>
    <row r="23" ht="20" customHeight="1" spans="1:7" x14ac:dyDescent="0.25">
      <c r="A23" s="8">
        <v>20</v>
      </c>
      <c r="B23" s="9" t="s">
        <v>22</v>
      </c>
      <c r="C23" s="9" t="s">
        <v>37</v>
      </c>
      <c r="D23" s="8" t="s">
        <v>24</v>
      </c>
      <c r="E23" s="8" t="s">
        <v>25</v>
      </c>
      <c r="F23" s="10" t="s">
        <v>13</v>
      </c>
      <c r="G23" s="9" t="s">
        <v>7</v>
      </c>
    </row>
    <row r="24" ht="20" customHeight="1" spans="1:7" x14ac:dyDescent="0.25">
      <c r="A24" s="8">
        <v>21</v>
      </c>
      <c r="B24" s="9" t="s">
        <v>22</v>
      </c>
      <c r="C24" s="9" t="s">
        <v>38</v>
      </c>
      <c r="D24" s="8" t="s">
        <v>24</v>
      </c>
      <c r="E24" s="8" t="s">
        <v>25</v>
      </c>
      <c r="F24" s="10" t="s">
        <v>13</v>
      </c>
      <c r="G24" s="9" t="s">
        <v>7</v>
      </c>
    </row>
    <row r="25" ht="20" customHeight="1" spans="1:7" x14ac:dyDescent="0.25">
      <c r="A25" s="8">
        <v>22</v>
      </c>
      <c r="B25" s="9" t="s">
        <v>22</v>
      </c>
      <c r="C25" s="9" t="s">
        <v>39</v>
      </c>
      <c r="D25" s="8" t="s">
        <v>24</v>
      </c>
      <c r="E25" s="8" t="s">
        <v>25</v>
      </c>
      <c r="F25" s="10" t="s">
        <v>13</v>
      </c>
      <c r="G25" s="9" t="s">
        <v>7</v>
      </c>
    </row>
    <row r="26" ht="26" customHeight="1" spans="1:7" x14ac:dyDescent="0.25">
      <c r="A26" s="2" t="s">
        <v>7</v>
      </c>
      <c r="B26" s="3" t="s">
        <v>40</v>
      </c>
      <c r="C26" s="2" t="s">
        <v>7</v>
      </c>
      <c r="D26" s="2" t="s">
        <v>7</v>
      </c>
      <c r="E26" s="2" t="s">
        <v>7</v>
      </c>
      <c r="F26" s="2" t="s">
        <v>7</v>
      </c>
      <c r="G26" s="2" t="s">
        <v>7</v>
      </c>
    </row>
    <row r="27" ht="20" customHeight="1" spans="1:7" x14ac:dyDescent="0.25">
      <c r="A27" s="8">
        <v>23</v>
      </c>
      <c r="B27" s="9" t="s">
        <v>41</v>
      </c>
      <c r="C27" s="9" t="s">
        <v>42</v>
      </c>
      <c r="D27" s="8" t="s">
        <v>11</v>
      </c>
      <c r="E27" s="8" t="s">
        <v>25</v>
      </c>
      <c r="F27" s="10" t="s">
        <v>13</v>
      </c>
      <c r="G27" s="9" t="s">
        <v>7</v>
      </c>
    </row>
    <row r="28" ht="20" customHeight="1" spans="1:7" x14ac:dyDescent="0.25">
      <c r="A28" s="8">
        <v>24</v>
      </c>
      <c r="B28" s="9" t="s">
        <v>41</v>
      </c>
      <c r="C28" s="9" t="s">
        <v>43</v>
      </c>
      <c r="D28" s="8" t="s">
        <v>11</v>
      </c>
      <c r="E28" s="8" t="s">
        <v>25</v>
      </c>
      <c r="F28" s="10" t="s">
        <v>13</v>
      </c>
      <c r="G28" s="9" t="s">
        <v>7</v>
      </c>
    </row>
    <row r="29" ht="20" customHeight="1" spans="1:7" x14ac:dyDescent="0.25">
      <c r="A29" s="8">
        <v>25</v>
      </c>
      <c r="B29" s="9" t="s">
        <v>41</v>
      </c>
      <c r="C29" s="9" t="s">
        <v>44</v>
      </c>
      <c r="D29" s="8" t="s">
        <v>11</v>
      </c>
      <c r="E29" s="8" t="s">
        <v>25</v>
      </c>
      <c r="F29" s="10" t="s">
        <v>13</v>
      </c>
      <c r="G29" s="9" t="s">
        <v>7</v>
      </c>
    </row>
    <row r="30" ht="20" customHeight="1" spans="1:7" x14ac:dyDescent="0.25">
      <c r="A30" s="8">
        <v>26</v>
      </c>
      <c r="B30" s="9" t="s">
        <v>41</v>
      </c>
      <c r="C30" s="9" t="s">
        <v>45</v>
      </c>
      <c r="D30" s="8" t="s">
        <v>11</v>
      </c>
      <c r="E30" s="8" t="s">
        <v>25</v>
      </c>
      <c r="F30" s="10" t="s">
        <v>13</v>
      </c>
      <c r="G30" s="9" t="s">
        <v>7</v>
      </c>
    </row>
    <row r="31" ht="20" customHeight="1" spans="1:7" x14ac:dyDescent="0.25">
      <c r="A31" s="8">
        <v>27</v>
      </c>
      <c r="B31" s="9" t="s">
        <v>41</v>
      </c>
      <c r="C31" s="9" t="s">
        <v>46</v>
      </c>
      <c r="D31" s="8" t="s">
        <v>11</v>
      </c>
      <c r="E31" s="8" t="s">
        <v>25</v>
      </c>
      <c r="F31" s="10" t="s">
        <v>13</v>
      </c>
      <c r="G31" s="9" t="s">
        <v>7</v>
      </c>
    </row>
    <row r="32" ht="20" customHeight="1" spans="1:7" x14ac:dyDescent="0.25">
      <c r="A32" s="8">
        <v>28</v>
      </c>
      <c r="B32" s="9" t="s">
        <v>41</v>
      </c>
      <c r="C32" s="9" t="s">
        <v>47</v>
      </c>
      <c r="D32" s="8" t="s">
        <v>11</v>
      </c>
      <c r="E32" s="8" t="s">
        <v>25</v>
      </c>
      <c r="F32" s="10" t="s">
        <v>13</v>
      </c>
      <c r="G32" s="9" t="s">
        <v>7</v>
      </c>
    </row>
    <row r="33" ht="20" customHeight="1" spans="1:7" x14ac:dyDescent="0.25">
      <c r="A33" s="8">
        <v>29</v>
      </c>
      <c r="B33" s="9" t="s">
        <v>41</v>
      </c>
      <c r="C33" s="9" t="s">
        <v>48</v>
      </c>
      <c r="D33" s="8" t="s">
        <v>11</v>
      </c>
      <c r="E33" s="8" t="s">
        <v>25</v>
      </c>
      <c r="F33" s="11" t="s">
        <v>17</v>
      </c>
      <c r="G33" s="9" t="s">
        <v>7</v>
      </c>
    </row>
    <row r="34" ht="20" customHeight="1" spans="1:7" x14ac:dyDescent="0.25">
      <c r="A34" s="8">
        <v>30</v>
      </c>
      <c r="B34" s="9" t="s">
        <v>41</v>
      </c>
      <c r="C34" s="9" t="s">
        <v>49</v>
      </c>
      <c r="D34" s="8" t="s">
        <v>11</v>
      </c>
      <c r="E34" s="8" t="s">
        <v>25</v>
      </c>
      <c r="F34" s="10" t="s">
        <v>13</v>
      </c>
      <c r="G34" s="9" t="s">
        <v>7</v>
      </c>
    </row>
    <row r="35" ht="20" customHeight="1" spans="1:7" x14ac:dyDescent="0.25">
      <c r="A35" s="8">
        <v>31</v>
      </c>
      <c r="B35" s="9" t="s">
        <v>41</v>
      </c>
      <c r="C35" s="9" t="s">
        <v>50</v>
      </c>
      <c r="D35" s="8" t="s">
        <v>51</v>
      </c>
      <c r="E35" s="8" t="s">
        <v>25</v>
      </c>
      <c r="F35" s="10" t="s">
        <v>13</v>
      </c>
      <c r="G35" s="9" t="s">
        <v>7</v>
      </c>
    </row>
    <row r="36" ht="20" customHeight="1" spans="1:7" x14ac:dyDescent="0.25">
      <c r="A36" s="8">
        <v>32</v>
      </c>
      <c r="B36" s="9" t="s">
        <v>41</v>
      </c>
      <c r="C36" s="9" t="s">
        <v>52</v>
      </c>
      <c r="D36" s="8" t="s">
        <v>51</v>
      </c>
      <c r="E36" s="8" t="s">
        <v>25</v>
      </c>
      <c r="F36" s="10" t="s">
        <v>13</v>
      </c>
      <c r="G36" s="9" t="s">
        <v>7</v>
      </c>
    </row>
    <row r="37" ht="20" customHeight="1" spans="1:7" x14ac:dyDescent="0.25">
      <c r="A37" s="8">
        <v>33</v>
      </c>
      <c r="B37" s="9" t="s">
        <v>41</v>
      </c>
      <c r="C37" s="9" t="s">
        <v>53</v>
      </c>
      <c r="D37" s="8" t="s">
        <v>51</v>
      </c>
      <c r="E37" s="8" t="s">
        <v>25</v>
      </c>
      <c r="F37" s="11" t="s">
        <v>17</v>
      </c>
      <c r="G37" s="9" t="s">
        <v>7</v>
      </c>
    </row>
    <row r="38" ht="20" customHeight="1" spans="1:7" x14ac:dyDescent="0.25">
      <c r="A38" s="8">
        <v>34</v>
      </c>
      <c r="B38" s="9" t="s">
        <v>41</v>
      </c>
      <c r="C38" s="9" t="s">
        <v>54</v>
      </c>
      <c r="D38" s="8" t="s">
        <v>51</v>
      </c>
      <c r="E38" s="8" t="s">
        <v>25</v>
      </c>
      <c r="F38" s="11" t="s">
        <v>17</v>
      </c>
      <c r="G38" s="9" t="s">
        <v>7</v>
      </c>
    </row>
    <row r="39" ht="20" customHeight="1" spans="1:7" x14ac:dyDescent="0.25">
      <c r="A39" s="8">
        <v>35</v>
      </c>
      <c r="B39" s="9" t="s">
        <v>41</v>
      </c>
      <c r="C39" s="9" t="s">
        <v>55</v>
      </c>
      <c r="D39" s="8" t="s">
        <v>51</v>
      </c>
      <c r="E39" s="8" t="s">
        <v>25</v>
      </c>
      <c r="F39" s="10" t="s">
        <v>13</v>
      </c>
      <c r="G39" s="9" t="s">
        <v>7</v>
      </c>
    </row>
    <row r="40" ht="20" customHeight="1" spans="1:7" x14ac:dyDescent="0.25">
      <c r="A40" s="8">
        <v>36</v>
      </c>
      <c r="B40" s="9" t="s">
        <v>41</v>
      </c>
      <c r="C40" s="9" t="s">
        <v>56</v>
      </c>
      <c r="D40" s="8" t="s">
        <v>51</v>
      </c>
      <c r="E40" s="8" t="s">
        <v>25</v>
      </c>
      <c r="F40" s="10" t="s">
        <v>13</v>
      </c>
      <c r="G40" s="9" t="s">
        <v>7</v>
      </c>
    </row>
    <row r="41" ht="26" customHeight="1" spans="1:7" x14ac:dyDescent="0.25">
      <c r="A41" s="2" t="s">
        <v>7</v>
      </c>
      <c r="B41" s="3" t="s">
        <v>57</v>
      </c>
      <c r="C41" s="2" t="s">
        <v>7</v>
      </c>
      <c r="D41" s="2" t="s">
        <v>7</v>
      </c>
      <c r="E41" s="2" t="s">
        <v>7</v>
      </c>
      <c r="F41" s="2" t="s">
        <v>7</v>
      </c>
      <c r="G41" s="2" t="s">
        <v>7</v>
      </c>
    </row>
    <row r="42" ht="20" customHeight="1" spans="1:7" x14ac:dyDescent="0.25">
      <c r="A42" s="8">
        <v>37</v>
      </c>
      <c r="B42" s="9" t="s">
        <v>58</v>
      </c>
      <c r="C42" s="9" t="s">
        <v>59</v>
      </c>
      <c r="D42" s="8" t="s">
        <v>11</v>
      </c>
      <c r="E42" s="8" t="s">
        <v>25</v>
      </c>
      <c r="F42" s="10" t="s">
        <v>13</v>
      </c>
      <c r="G42" s="9" t="s">
        <v>7</v>
      </c>
    </row>
    <row r="43" ht="20" customHeight="1" spans="1:7" x14ac:dyDescent="0.25">
      <c r="A43" s="8">
        <v>38</v>
      </c>
      <c r="B43" s="9" t="s">
        <v>58</v>
      </c>
      <c r="C43" s="9" t="s">
        <v>60</v>
      </c>
      <c r="D43" s="8" t="s">
        <v>11</v>
      </c>
      <c r="E43" s="8" t="s">
        <v>25</v>
      </c>
      <c r="F43" s="10" t="s">
        <v>13</v>
      </c>
      <c r="G43" s="9" t="s">
        <v>7</v>
      </c>
    </row>
    <row r="44" ht="20" customHeight="1" spans="1:7" x14ac:dyDescent="0.25">
      <c r="A44" s="8">
        <v>39</v>
      </c>
      <c r="B44" s="9" t="s">
        <v>58</v>
      </c>
      <c r="C44" s="9" t="s">
        <v>61</v>
      </c>
      <c r="D44" s="8" t="s">
        <v>11</v>
      </c>
      <c r="E44" s="8" t="s">
        <v>25</v>
      </c>
      <c r="F44" s="11" t="s">
        <v>17</v>
      </c>
      <c r="G44" s="9" t="s">
        <v>7</v>
      </c>
    </row>
    <row r="45" ht="20" customHeight="1" spans="1:7" x14ac:dyDescent="0.25">
      <c r="A45" s="8">
        <v>40</v>
      </c>
      <c r="B45" s="9" t="s">
        <v>58</v>
      </c>
      <c r="C45" s="9" t="s">
        <v>62</v>
      </c>
      <c r="D45" s="8" t="s">
        <v>11</v>
      </c>
      <c r="E45" s="8" t="s">
        <v>25</v>
      </c>
      <c r="F45" s="10" t="s">
        <v>13</v>
      </c>
      <c r="G45" s="9" t="s">
        <v>7</v>
      </c>
    </row>
    <row r="46" ht="20" customHeight="1" spans="1:7" x14ac:dyDescent="0.25">
      <c r="A46" s="8">
        <v>41</v>
      </c>
      <c r="B46" s="9" t="s">
        <v>58</v>
      </c>
      <c r="C46" s="9" t="s">
        <v>63</v>
      </c>
      <c r="D46" s="8" t="s">
        <v>11</v>
      </c>
      <c r="E46" s="8" t="s">
        <v>25</v>
      </c>
      <c r="F46" s="10" t="s">
        <v>13</v>
      </c>
      <c r="G46" s="9" t="s">
        <v>7</v>
      </c>
    </row>
    <row r="47" ht="20" customHeight="1" spans="1:7" x14ac:dyDescent="0.25">
      <c r="A47" s="8">
        <v>42</v>
      </c>
      <c r="B47" s="9" t="s">
        <v>58</v>
      </c>
      <c r="C47" s="9" t="s">
        <v>64</v>
      </c>
      <c r="D47" s="8" t="s">
        <v>51</v>
      </c>
      <c r="E47" s="8" t="s">
        <v>25</v>
      </c>
      <c r="F47" s="10" t="s">
        <v>13</v>
      </c>
      <c r="G47" s="9" t="s">
        <v>7</v>
      </c>
    </row>
    <row r="48" ht="20" customHeight="1" spans="1:7" x14ac:dyDescent="0.25">
      <c r="A48" s="8">
        <v>43</v>
      </c>
      <c r="B48" s="9" t="s">
        <v>58</v>
      </c>
      <c r="C48" s="9" t="s">
        <v>65</v>
      </c>
      <c r="D48" s="8" t="s">
        <v>51</v>
      </c>
      <c r="E48" s="8" t="s">
        <v>25</v>
      </c>
      <c r="F48" s="10" t="s">
        <v>13</v>
      </c>
      <c r="G48" s="9" t="s">
        <v>7</v>
      </c>
    </row>
    <row r="49" ht="20" customHeight="1" spans="1:7" x14ac:dyDescent="0.25">
      <c r="A49" s="8">
        <v>44</v>
      </c>
      <c r="B49" s="9" t="s">
        <v>58</v>
      </c>
      <c r="C49" s="9" t="s">
        <v>66</v>
      </c>
      <c r="D49" s="8" t="s">
        <v>51</v>
      </c>
      <c r="E49" s="8" t="s">
        <v>25</v>
      </c>
      <c r="F49" s="11" t="s">
        <v>17</v>
      </c>
      <c r="G49" s="9" t="s">
        <v>7</v>
      </c>
    </row>
    <row r="50" ht="20" customHeight="1" spans="1:7" x14ac:dyDescent="0.25">
      <c r="A50" s="8">
        <v>45</v>
      </c>
      <c r="B50" s="9" t="s">
        <v>58</v>
      </c>
      <c r="C50" s="9" t="s">
        <v>67</v>
      </c>
      <c r="D50" s="8" t="s">
        <v>51</v>
      </c>
      <c r="E50" s="8" t="s">
        <v>25</v>
      </c>
      <c r="F50" s="10" t="s">
        <v>13</v>
      </c>
      <c r="G50" s="9" t="s">
        <v>7</v>
      </c>
    </row>
    <row r="51" ht="20" customHeight="1" spans="1:7" x14ac:dyDescent="0.25">
      <c r="A51" s="8">
        <v>46</v>
      </c>
      <c r="B51" s="9" t="s">
        <v>58</v>
      </c>
      <c r="C51" s="9" t="s">
        <v>68</v>
      </c>
      <c r="D51" s="8" t="s">
        <v>51</v>
      </c>
      <c r="E51" s="8" t="s">
        <v>25</v>
      </c>
      <c r="F51" s="10" t="s">
        <v>13</v>
      </c>
      <c r="G51" s="9" t="s">
        <v>7</v>
      </c>
    </row>
    <row r="52" ht="26" customHeight="1" spans="1:7" x14ac:dyDescent="0.25">
      <c r="A52" s="2" t="s">
        <v>7</v>
      </c>
      <c r="B52" s="3" t="s">
        <v>69</v>
      </c>
      <c r="C52" s="2" t="s">
        <v>7</v>
      </c>
      <c r="D52" s="2" t="s">
        <v>7</v>
      </c>
      <c r="E52" s="2" t="s">
        <v>7</v>
      </c>
      <c r="F52" s="2" t="s">
        <v>7</v>
      </c>
      <c r="G52" s="2" t="s">
        <v>7</v>
      </c>
    </row>
    <row r="53" ht="20" customHeight="1" spans="1:7" x14ac:dyDescent="0.25">
      <c r="A53" s="8">
        <v>47</v>
      </c>
      <c r="B53" s="9" t="s">
        <v>70</v>
      </c>
      <c r="C53" s="9" t="s">
        <v>71</v>
      </c>
      <c r="D53" s="8" t="s">
        <v>11</v>
      </c>
      <c r="E53" s="8" t="s">
        <v>25</v>
      </c>
      <c r="F53" s="10" t="s">
        <v>13</v>
      </c>
      <c r="G53" s="9" t="s">
        <v>7</v>
      </c>
    </row>
    <row r="54" ht="20" customHeight="1" spans="1:7" x14ac:dyDescent="0.25">
      <c r="A54" s="8">
        <v>48</v>
      </c>
      <c r="B54" s="9" t="s">
        <v>70</v>
      </c>
      <c r="C54" s="9" t="s">
        <v>72</v>
      </c>
      <c r="D54" s="8" t="s">
        <v>11</v>
      </c>
      <c r="E54" s="8" t="s">
        <v>25</v>
      </c>
      <c r="F54" s="11" t="s">
        <v>17</v>
      </c>
      <c r="G54" s="9" t="s">
        <v>7</v>
      </c>
    </row>
    <row r="55" ht="20" customHeight="1" spans="1:7" x14ac:dyDescent="0.25">
      <c r="A55" s="8">
        <v>49</v>
      </c>
      <c r="B55" s="9" t="s">
        <v>70</v>
      </c>
      <c r="C55" s="9" t="s">
        <v>73</v>
      </c>
      <c r="D55" s="8" t="s">
        <v>11</v>
      </c>
      <c r="E55" s="8" t="s">
        <v>25</v>
      </c>
      <c r="F55" s="11" t="s">
        <v>17</v>
      </c>
      <c r="G55" s="9" t="s">
        <v>7</v>
      </c>
    </row>
    <row r="56" ht="20" customHeight="1" spans="1:7" x14ac:dyDescent="0.25">
      <c r="A56" s="8">
        <v>50</v>
      </c>
      <c r="B56" s="9" t="s">
        <v>70</v>
      </c>
      <c r="C56" s="9" t="s">
        <v>74</v>
      </c>
      <c r="D56" s="8" t="s">
        <v>11</v>
      </c>
      <c r="E56" s="8" t="s">
        <v>25</v>
      </c>
      <c r="F56" s="11" t="s">
        <v>17</v>
      </c>
      <c r="G56" s="9" t="s">
        <v>7</v>
      </c>
    </row>
    <row r="57" ht="20" customHeight="1" spans="1:7" x14ac:dyDescent="0.25">
      <c r="A57" s="8">
        <v>51</v>
      </c>
      <c r="B57" s="9" t="s">
        <v>70</v>
      </c>
      <c r="C57" s="9" t="s">
        <v>75</v>
      </c>
      <c r="D57" s="8" t="s">
        <v>11</v>
      </c>
      <c r="E57" s="8" t="s">
        <v>25</v>
      </c>
      <c r="F57" s="10" t="s">
        <v>13</v>
      </c>
      <c r="G57" s="9" t="s">
        <v>7</v>
      </c>
    </row>
    <row r="58" ht="20" customHeight="1" spans="1:7" x14ac:dyDescent="0.25">
      <c r="A58" s="8">
        <v>52</v>
      </c>
      <c r="B58" s="9" t="s">
        <v>70</v>
      </c>
      <c r="C58" s="9" t="s">
        <v>76</v>
      </c>
      <c r="D58" s="8" t="s">
        <v>11</v>
      </c>
      <c r="E58" s="8" t="s">
        <v>25</v>
      </c>
      <c r="F58" s="10" t="s">
        <v>13</v>
      </c>
      <c r="G58" s="9" t="s">
        <v>7</v>
      </c>
    </row>
    <row r="59" ht="20" customHeight="1" spans="1:7" x14ac:dyDescent="0.25">
      <c r="A59" s="8">
        <v>53</v>
      </c>
      <c r="B59" s="9" t="s">
        <v>70</v>
      </c>
      <c r="C59" s="9" t="s">
        <v>77</v>
      </c>
      <c r="D59" s="8" t="s">
        <v>11</v>
      </c>
      <c r="E59" s="8" t="s">
        <v>25</v>
      </c>
      <c r="F59" s="10" t="s">
        <v>13</v>
      </c>
      <c r="G59" s="9" t="s">
        <v>7</v>
      </c>
    </row>
    <row r="60" ht="20" customHeight="1" spans="1:7" x14ac:dyDescent="0.25">
      <c r="A60" s="8">
        <v>54</v>
      </c>
      <c r="B60" s="9" t="s">
        <v>70</v>
      </c>
      <c r="C60" s="9" t="s">
        <v>78</v>
      </c>
      <c r="D60" s="8" t="s">
        <v>51</v>
      </c>
      <c r="E60" s="8" t="s">
        <v>25</v>
      </c>
      <c r="F60" s="10" t="s">
        <v>13</v>
      </c>
      <c r="G60" s="9" t="s">
        <v>7</v>
      </c>
    </row>
    <row r="61" ht="20" customHeight="1" spans="1:7" x14ac:dyDescent="0.25">
      <c r="A61" s="8">
        <v>55</v>
      </c>
      <c r="B61" s="9" t="s">
        <v>70</v>
      </c>
      <c r="C61" s="9" t="s">
        <v>79</v>
      </c>
      <c r="D61" s="8" t="s">
        <v>51</v>
      </c>
      <c r="E61" s="8" t="s">
        <v>25</v>
      </c>
      <c r="F61" s="11" t="s">
        <v>17</v>
      </c>
      <c r="G61" s="9" t="s">
        <v>7</v>
      </c>
    </row>
    <row r="62" ht="20" customHeight="1" spans="1:7" x14ac:dyDescent="0.25">
      <c r="A62" s="8">
        <v>56</v>
      </c>
      <c r="B62" s="9" t="s">
        <v>70</v>
      </c>
      <c r="C62" s="9" t="s">
        <v>80</v>
      </c>
      <c r="D62" s="8" t="s">
        <v>51</v>
      </c>
      <c r="E62" s="8" t="s">
        <v>25</v>
      </c>
      <c r="F62" s="10" t="s">
        <v>13</v>
      </c>
      <c r="G62" s="9" t="s">
        <v>7</v>
      </c>
    </row>
    <row r="63" ht="20" customHeight="1" spans="1:7" x14ac:dyDescent="0.25">
      <c r="A63" s="8">
        <v>57</v>
      </c>
      <c r="B63" s="9" t="s">
        <v>70</v>
      </c>
      <c r="C63" s="9" t="s">
        <v>81</v>
      </c>
      <c r="D63" s="8" t="s">
        <v>51</v>
      </c>
      <c r="E63" s="8" t="s">
        <v>25</v>
      </c>
      <c r="F63" s="10" t="s">
        <v>13</v>
      </c>
      <c r="G63" s="9" t="s">
        <v>7</v>
      </c>
    </row>
    <row r="64" ht="20" customHeight="1" spans="1:7" x14ac:dyDescent="0.25">
      <c r="A64" s="8">
        <v>58</v>
      </c>
      <c r="B64" s="9" t="s">
        <v>70</v>
      </c>
      <c r="C64" s="9" t="s">
        <v>82</v>
      </c>
      <c r="D64" s="8" t="s">
        <v>51</v>
      </c>
      <c r="E64" s="8" t="s">
        <v>25</v>
      </c>
      <c r="F64" s="10" t="s">
        <v>13</v>
      </c>
      <c r="G64" s="9" t="s">
        <v>7</v>
      </c>
    </row>
    <row r="65" ht="26" customHeight="1" spans="1:7" x14ac:dyDescent="0.25">
      <c r="A65" s="2" t="s">
        <v>7</v>
      </c>
      <c r="B65" s="3" t="s">
        <v>83</v>
      </c>
      <c r="C65" s="2" t="s">
        <v>7</v>
      </c>
      <c r="D65" s="2" t="s">
        <v>7</v>
      </c>
      <c r="E65" s="2" t="s">
        <v>7</v>
      </c>
      <c r="F65" s="2" t="s">
        <v>7</v>
      </c>
      <c r="G65" s="2" t="s">
        <v>7</v>
      </c>
    </row>
    <row r="66" ht="20" customHeight="1" spans="1:7" x14ac:dyDescent="0.25">
      <c r="A66" s="8">
        <v>59</v>
      </c>
      <c r="B66" s="9" t="s">
        <v>84</v>
      </c>
      <c r="C66" s="9" t="s">
        <v>85</v>
      </c>
      <c r="D66" s="8" t="s">
        <v>11</v>
      </c>
      <c r="E66" s="8" t="s">
        <v>25</v>
      </c>
      <c r="F66" s="10" t="s">
        <v>13</v>
      </c>
      <c r="G66" s="9" t="s">
        <v>7</v>
      </c>
    </row>
    <row r="67" ht="20" customHeight="1" spans="1:7" x14ac:dyDescent="0.25">
      <c r="A67" s="8">
        <v>60</v>
      </c>
      <c r="B67" s="9" t="s">
        <v>84</v>
      </c>
      <c r="C67" s="9" t="s">
        <v>86</v>
      </c>
      <c r="D67" s="8" t="s">
        <v>11</v>
      </c>
      <c r="E67" s="8" t="s">
        <v>25</v>
      </c>
      <c r="F67" s="11" t="s">
        <v>17</v>
      </c>
      <c r="G67" s="9" t="s">
        <v>7</v>
      </c>
    </row>
    <row r="68" ht="20" customHeight="1" spans="1:7" x14ac:dyDescent="0.25">
      <c r="A68" s="8">
        <v>61</v>
      </c>
      <c r="B68" s="9" t="s">
        <v>84</v>
      </c>
      <c r="C68" s="9" t="s">
        <v>87</v>
      </c>
      <c r="D68" s="8" t="s">
        <v>11</v>
      </c>
      <c r="E68" s="8" t="s">
        <v>25</v>
      </c>
      <c r="F68" s="10" t="s">
        <v>13</v>
      </c>
      <c r="G68" s="9" t="s">
        <v>7</v>
      </c>
    </row>
    <row r="69" ht="20" customHeight="1" spans="1:7" x14ac:dyDescent="0.25">
      <c r="A69" s="8">
        <v>62</v>
      </c>
      <c r="B69" s="9" t="s">
        <v>84</v>
      </c>
      <c r="C69" s="9" t="s">
        <v>88</v>
      </c>
      <c r="D69" s="8" t="s">
        <v>11</v>
      </c>
      <c r="E69" s="8" t="s">
        <v>25</v>
      </c>
      <c r="F69" s="12" t="s">
        <v>89</v>
      </c>
      <c r="G69" s="9" t="s">
        <v>7</v>
      </c>
    </row>
    <row r="70" ht="20" customHeight="1" spans="1:7" x14ac:dyDescent="0.25">
      <c r="A70" s="8">
        <v>63</v>
      </c>
      <c r="B70" s="9" t="s">
        <v>84</v>
      </c>
      <c r="C70" s="9" t="s">
        <v>90</v>
      </c>
      <c r="D70" s="8" t="s">
        <v>51</v>
      </c>
      <c r="E70" s="8" t="s">
        <v>25</v>
      </c>
      <c r="F70" s="10" t="s">
        <v>13</v>
      </c>
      <c r="G70" s="9" t="s">
        <v>7</v>
      </c>
    </row>
    <row r="71" ht="20" customHeight="1" spans="1:7" x14ac:dyDescent="0.25">
      <c r="A71" s="8">
        <v>64</v>
      </c>
      <c r="B71" s="9" t="s">
        <v>84</v>
      </c>
      <c r="C71" s="9" t="s">
        <v>91</v>
      </c>
      <c r="D71" s="8" t="s">
        <v>51</v>
      </c>
      <c r="E71" s="8" t="s">
        <v>25</v>
      </c>
      <c r="F71" s="11" t="s">
        <v>17</v>
      </c>
      <c r="G71" s="9" t="s">
        <v>7</v>
      </c>
    </row>
    <row r="72" ht="20" customHeight="1" spans="1:7" x14ac:dyDescent="0.25">
      <c r="A72" s="8">
        <v>65</v>
      </c>
      <c r="B72" s="9" t="s">
        <v>84</v>
      </c>
      <c r="C72" s="9" t="s">
        <v>92</v>
      </c>
      <c r="D72" s="8" t="s">
        <v>51</v>
      </c>
      <c r="E72" s="8" t="s">
        <v>25</v>
      </c>
      <c r="F72" s="10" t="s">
        <v>13</v>
      </c>
      <c r="G72" s="9" t="s">
        <v>7</v>
      </c>
    </row>
    <row r="73" ht="20" customHeight="1" spans="1:7" x14ac:dyDescent="0.25">
      <c r="A73" s="8">
        <v>66</v>
      </c>
      <c r="B73" s="9" t="s">
        <v>84</v>
      </c>
      <c r="C73" s="9" t="s">
        <v>93</v>
      </c>
      <c r="D73" s="8" t="s">
        <v>51</v>
      </c>
      <c r="E73" s="8" t="s">
        <v>25</v>
      </c>
      <c r="F73" s="10" t="s">
        <v>13</v>
      </c>
      <c r="G73" s="9" t="s">
        <v>7</v>
      </c>
    </row>
    <row r="74" ht="20" customHeight="1" spans="1:7" x14ac:dyDescent="0.25">
      <c r="A74" s="8">
        <v>67</v>
      </c>
      <c r="B74" s="9" t="s">
        <v>84</v>
      </c>
      <c r="C74" s="9" t="s">
        <v>94</v>
      </c>
      <c r="D74" s="8" t="s">
        <v>51</v>
      </c>
      <c r="E74" s="8" t="s">
        <v>25</v>
      </c>
      <c r="F74" s="10" t="s">
        <v>13</v>
      </c>
      <c r="G74" s="9" t="s">
        <v>7</v>
      </c>
    </row>
    <row r="75" ht="20" customHeight="1" spans="1:7" x14ac:dyDescent="0.25">
      <c r="A75" s="8">
        <v>68</v>
      </c>
      <c r="B75" s="9" t="s">
        <v>84</v>
      </c>
      <c r="C75" s="9" t="s">
        <v>95</v>
      </c>
      <c r="D75" s="8" t="s">
        <v>51</v>
      </c>
      <c r="E75" s="8" t="s">
        <v>25</v>
      </c>
      <c r="F75" s="11" t="s">
        <v>17</v>
      </c>
      <c r="G75" s="9" t="s">
        <v>7</v>
      </c>
    </row>
    <row r="76" ht="20" customHeight="1" spans="1:7" x14ac:dyDescent="0.25">
      <c r="A76" s="8">
        <v>69</v>
      </c>
      <c r="B76" s="9" t="s">
        <v>84</v>
      </c>
      <c r="C76" s="9" t="s">
        <v>96</v>
      </c>
      <c r="D76" s="8" t="s">
        <v>51</v>
      </c>
      <c r="E76" s="8" t="s">
        <v>25</v>
      </c>
      <c r="F76" s="10" t="s">
        <v>13</v>
      </c>
      <c r="G76" s="9" t="s">
        <v>7</v>
      </c>
    </row>
    <row r="77" ht="26" customHeight="1" spans="1:7" x14ac:dyDescent="0.25">
      <c r="A77" s="2" t="s">
        <v>7</v>
      </c>
      <c r="B77" s="3" t="s">
        <v>97</v>
      </c>
      <c r="C77" s="2" t="s">
        <v>7</v>
      </c>
      <c r="D77" s="2" t="s">
        <v>7</v>
      </c>
      <c r="E77" s="2" t="s">
        <v>7</v>
      </c>
      <c r="F77" s="2" t="s">
        <v>7</v>
      </c>
      <c r="G77" s="2" t="s">
        <v>7</v>
      </c>
    </row>
    <row r="78" ht="20" customHeight="1" spans="1:7" x14ac:dyDescent="0.25">
      <c r="A78" s="8">
        <v>70</v>
      </c>
      <c r="B78" s="9" t="s">
        <v>98</v>
      </c>
      <c r="C78" s="9" t="s">
        <v>99</v>
      </c>
      <c r="D78" s="8" t="s">
        <v>11</v>
      </c>
      <c r="E78" s="8" t="s">
        <v>25</v>
      </c>
      <c r="F78" s="10" t="s">
        <v>13</v>
      </c>
      <c r="G78" s="9" t="s">
        <v>7</v>
      </c>
    </row>
    <row r="79" ht="20" customHeight="1" spans="1:7" x14ac:dyDescent="0.25">
      <c r="A79" s="8">
        <v>71</v>
      </c>
      <c r="B79" s="9" t="s">
        <v>98</v>
      </c>
      <c r="C79" s="9" t="s">
        <v>100</v>
      </c>
      <c r="D79" s="8" t="s">
        <v>11</v>
      </c>
      <c r="E79" s="8" t="s">
        <v>25</v>
      </c>
      <c r="F79" s="11" t="s">
        <v>17</v>
      </c>
      <c r="G79" s="9" t="s">
        <v>7</v>
      </c>
    </row>
    <row r="80" ht="20" customHeight="1" spans="1:7" x14ac:dyDescent="0.25">
      <c r="A80" s="8">
        <v>72</v>
      </c>
      <c r="B80" s="9" t="s">
        <v>98</v>
      </c>
      <c r="C80" s="9" t="s">
        <v>101</v>
      </c>
      <c r="D80" s="8" t="s">
        <v>11</v>
      </c>
      <c r="E80" s="8" t="s">
        <v>25</v>
      </c>
      <c r="F80" s="10" t="s">
        <v>13</v>
      </c>
      <c r="G80" s="9" t="s">
        <v>7</v>
      </c>
    </row>
    <row r="81" ht="20" customHeight="1" spans="1:7" x14ac:dyDescent="0.25">
      <c r="A81" s="8">
        <v>73</v>
      </c>
      <c r="B81" s="9" t="s">
        <v>98</v>
      </c>
      <c r="C81" s="9" t="s">
        <v>102</v>
      </c>
      <c r="D81" s="8" t="s">
        <v>11</v>
      </c>
      <c r="E81" s="8" t="s">
        <v>25</v>
      </c>
      <c r="F81" s="10" t="s">
        <v>13</v>
      </c>
      <c r="G81" s="9" t="s">
        <v>7</v>
      </c>
    </row>
    <row r="82" ht="20" customHeight="1" spans="1:7" x14ac:dyDescent="0.25">
      <c r="A82" s="8">
        <v>74</v>
      </c>
      <c r="B82" s="9" t="s">
        <v>98</v>
      </c>
      <c r="C82" s="9" t="s">
        <v>103</v>
      </c>
      <c r="D82" s="8" t="s">
        <v>11</v>
      </c>
      <c r="E82" s="8" t="s">
        <v>25</v>
      </c>
      <c r="F82" s="10" t="s">
        <v>13</v>
      </c>
      <c r="G82" s="9" t="s">
        <v>7</v>
      </c>
    </row>
    <row r="83" ht="20" customHeight="1" spans="1:7" x14ac:dyDescent="0.25">
      <c r="A83" s="8">
        <v>75</v>
      </c>
      <c r="B83" s="9" t="s">
        <v>98</v>
      </c>
      <c r="C83" s="9" t="s">
        <v>104</v>
      </c>
      <c r="D83" s="8" t="s">
        <v>11</v>
      </c>
      <c r="E83" s="8" t="s">
        <v>25</v>
      </c>
      <c r="F83" s="10" t="s">
        <v>13</v>
      </c>
      <c r="G83" s="9" t="s">
        <v>7</v>
      </c>
    </row>
    <row r="84" ht="20" customHeight="1" spans="1:7" x14ac:dyDescent="0.25">
      <c r="A84" s="8">
        <v>76</v>
      </c>
      <c r="B84" s="9" t="s">
        <v>98</v>
      </c>
      <c r="C84" s="9" t="s">
        <v>105</v>
      </c>
      <c r="D84" s="8" t="s">
        <v>51</v>
      </c>
      <c r="E84" s="8" t="s">
        <v>25</v>
      </c>
      <c r="F84" s="10" t="s">
        <v>13</v>
      </c>
      <c r="G84" s="9" t="s">
        <v>7</v>
      </c>
    </row>
    <row r="85" ht="20" customHeight="1" spans="1:7" x14ac:dyDescent="0.25">
      <c r="A85" s="8">
        <v>77</v>
      </c>
      <c r="B85" s="9" t="s">
        <v>98</v>
      </c>
      <c r="C85" s="9" t="s">
        <v>106</v>
      </c>
      <c r="D85" s="8" t="s">
        <v>51</v>
      </c>
      <c r="E85" s="8" t="s">
        <v>25</v>
      </c>
      <c r="F85" s="10" t="s">
        <v>13</v>
      </c>
      <c r="G85" s="9" t="s">
        <v>7</v>
      </c>
    </row>
    <row r="86" ht="20" customHeight="1" spans="1:7" x14ac:dyDescent="0.25">
      <c r="A86" s="8">
        <v>78</v>
      </c>
      <c r="B86" s="9" t="s">
        <v>98</v>
      </c>
      <c r="C86" s="9" t="s">
        <v>107</v>
      </c>
      <c r="D86" s="8" t="s">
        <v>51</v>
      </c>
      <c r="E86" s="8" t="s">
        <v>25</v>
      </c>
      <c r="F86" s="10" t="s">
        <v>13</v>
      </c>
      <c r="G86" s="9" t="s">
        <v>7</v>
      </c>
    </row>
    <row r="87" ht="20" customHeight="1" spans="1:7" x14ac:dyDescent="0.25">
      <c r="A87" s="8">
        <v>79</v>
      </c>
      <c r="B87" s="9" t="s">
        <v>98</v>
      </c>
      <c r="C87" s="9" t="s">
        <v>108</v>
      </c>
      <c r="D87" s="8" t="s">
        <v>51</v>
      </c>
      <c r="E87" s="8" t="s">
        <v>25</v>
      </c>
      <c r="F87" s="10" t="s">
        <v>13</v>
      </c>
      <c r="G87" s="9" t="s">
        <v>7</v>
      </c>
    </row>
    <row r="88" ht="26" customHeight="1" spans="1:7" x14ac:dyDescent="0.25">
      <c r="A88" s="2" t="s">
        <v>7</v>
      </c>
      <c r="B88" s="3" t="s">
        <v>109</v>
      </c>
      <c r="C88" s="2" t="s">
        <v>7</v>
      </c>
      <c r="D88" s="2" t="s">
        <v>7</v>
      </c>
      <c r="E88" s="2" t="s">
        <v>7</v>
      </c>
      <c r="F88" s="2" t="s">
        <v>7</v>
      </c>
      <c r="G88" s="2" t="s">
        <v>7</v>
      </c>
    </row>
    <row r="89" ht="20" customHeight="1" spans="1:7" x14ac:dyDescent="0.25">
      <c r="A89" s="8">
        <v>80</v>
      </c>
      <c r="B89" s="9" t="s">
        <v>110</v>
      </c>
      <c r="C89" s="9" t="s">
        <v>111</v>
      </c>
      <c r="D89" s="8" t="s">
        <v>11</v>
      </c>
      <c r="E89" s="8" t="s">
        <v>25</v>
      </c>
      <c r="F89" s="11" t="s">
        <v>17</v>
      </c>
      <c r="G89" s="9" t="s">
        <v>7</v>
      </c>
    </row>
    <row r="90" ht="20" customHeight="1" spans="1:7" x14ac:dyDescent="0.25">
      <c r="A90" s="8">
        <v>81</v>
      </c>
      <c r="B90" s="9" t="s">
        <v>110</v>
      </c>
      <c r="C90" s="9" t="s">
        <v>112</v>
      </c>
      <c r="D90" s="8" t="s">
        <v>51</v>
      </c>
      <c r="E90" s="8" t="s">
        <v>25</v>
      </c>
      <c r="F90" s="11" t="s">
        <v>17</v>
      </c>
      <c r="G90" s="9" t="s">
        <v>7</v>
      </c>
    </row>
    <row r="91" ht="20" customHeight="1" spans="1:7" x14ac:dyDescent="0.25">
      <c r="A91" s="8">
        <v>82</v>
      </c>
      <c r="B91" s="9" t="s">
        <v>110</v>
      </c>
      <c r="C91" s="9" t="s">
        <v>111</v>
      </c>
      <c r="D91" s="8" t="s">
        <v>51</v>
      </c>
      <c r="E91" s="8" t="s">
        <v>25</v>
      </c>
      <c r="F91" s="11" t="s">
        <v>17</v>
      </c>
      <c r="G91" s="9" t="s">
        <v>7</v>
      </c>
    </row>
    <row r="92" ht="26" customHeight="1" spans="1:7" x14ac:dyDescent="0.25">
      <c r="A92" s="2" t="s">
        <v>7</v>
      </c>
      <c r="B92" s="3" t="s">
        <v>113</v>
      </c>
      <c r="C92" s="2" t="s">
        <v>7</v>
      </c>
      <c r="D92" s="2" t="s">
        <v>7</v>
      </c>
      <c r="E92" s="2" t="s">
        <v>7</v>
      </c>
      <c r="F92" s="2" t="s">
        <v>7</v>
      </c>
      <c r="G92" s="2" t="s">
        <v>7</v>
      </c>
    </row>
    <row r="93" ht="20" customHeight="1" spans="1:7" x14ac:dyDescent="0.25">
      <c r="A93" s="8">
        <v>83</v>
      </c>
      <c r="B93" s="9" t="s">
        <v>114</v>
      </c>
      <c r="C93" s="9" t="s">
        <v>115</v>
      </c>
      <c r="D93" s="8" t="s">
        <v>11</v>
      </c>
      <c r="E93" s="8" t="s">
        <v>25</v>
      </c>
      <c r="F93" s="10" t="s">
        <v>13</v>
      </c>
      <c r="G93" s="9" t="s">
        <v>7</v>
      </c>
    </row>
    <row r="94" ht="20" customHeight="1" spans="1:7" x14ac:dyDescent="0.25">
      <c r="A94" s="8">
        <v>84</v>
      </c>
      <c r="B94" s="9" t="s">
        <v>114</v>
      </c>
      <c r="C94" s="9" t="s">
        <v>116</v>
      </c>
      <c r="D94" s="8" t="s">
        <v>51</v>
      </c>
      <c r="E94" s="8" t="s">
        <v>25</v>
      </c>
      <c r="F94" s="10" t="s">
        <v>13</v>
      </c>
      <c r="G94" s="9" t="s">
        <v>7</v>
      </c>
    </row>
    <row r="95" ht="20" customHeight="1" spans="1:7" x14ac:dyDescent="0.25">
      <c r="A95" s="8">
        <v>85</v>
      </c>
      <c r="B95" s="9" t="s">
        <v>114</v>
      </c>
      <c r="C95" s="9" t="s">
        <v>117</v>
      </c>
      <c r="D95" s="8" t="s">
        <v>11</v>
      </c>
      <c r="E95" s="8" t="s">
        <v>25</v>
      </c>
      <c r="F95" s="11" t="s">
        <v>17</v>
      </c>
      <c r="G95" s="9" t="s">
        <v>7</v>
      </c>
    </row>
    <row r="96" ht="20" customHeight="1" spans="1:7" x14ac:dyDescent="0.25">
      <c r="A96" s="8">
        <v>86</v>
      </c>
      <c r="B96" s="9" t="s">
        <v>114</v>
      </c>
      <c r="C96" s="9" t="s">
        <v>117</v>
      </c>
      <c r="D96" s="8" t="s">
        <v>51</v>
      </c>
      <c r="E96" s="8" t="s">
        <v>25</v>
      </c>
      <c r="F96" s="11" t="s">
        <v>17</v>
      </c>
      <c r="G96" s="9" t="s">
        <v>7</v>
      </c>
    </row>
    <row r="97" ht="20" customHeight="1" spans="1:7" x14ac:dyDescent="0.25">
      <c r="A97" s="8">
        <v>87</v>
      </c>
      <c r="B97" s="9" t="s">
        <v>114</v>
      </c>
      <c r="C97" s="9" t="s">
        <v>118</v>
      </c>
      <c r="D97" s="8" t="s">
        <v>11</v>
      </c>
      <c r="E97" s="8" t="s">
        <v>25</v>
      </c>
      <c r="F97" s="11" t="s">
        <v>17</v>
      </c>
      <c r="G97" s="9" t="s">
        <v>7</v>
      </c>
    </row>
    <row r="98" ht="20" customHeight="1" spans="1:7" x14ac:dyDescent="0.25">
      <c r="A98" s="8">
        <v>88</v>
      </c>
      <c r="B98" s="9" t="s">
        <v>114</v>
      </c>
      <c r="C98" s="9" t="s">
        <v>118</v>
      </c>
      <c r="D98" s="8" t="s">
        <v>51</v>
      </c>
      <c r="E98" s="8" t="s">
        <v>25</v>
      </c>
      <c r="F98" s="11" t="s">
        <v>17</v>
      </c>
      <c r="G98" s="9" t="s">
        <v>7</v>
      </c>
    </row>
    <row r="99" ht="26" customHeight="1" spans="1:7" x14ac:dyDescent="0.25">
      <c r="A99" s="2" t="s">
        <v>7</v>
      </c>
      <c r="B99" s="3" t="s">
        <v>119</v>
      </c>
      <c r="C99" s="2" t="s">
        <v>7</v>
      </c>
      <c r="D99" s="2" t="s">
        <v>7</v>
      </c>
      <c r="E99" s="2" t="s">
        <v>7</v>
      </c>
      <c r="F99" s="2" t="s">
        <v>7</v>
      </c>
      <c r="G99" s="2" t="s">
        <v>7</v>
      </c>
    </row>
    <row r="100" ht="20" customHeight="1" spans="1:7" x14ac:dyDescent="0.25">
      <c r="A100" s="8">
        <v>89</v>
      </c>
      <c r="B100" s="9" t="s">
        <v>120</v>
      </c>
      <c r="C100" s="9" t="s">
        <v>121</v>
      </c>
      <c r="D100" s="8" t="s">
        <v>24</v>
      </c>
      <c r="E100" s="8" t="s">
        <v>25</v>
      </c>
      <c r="F100" s="11" t="s">
        <v>17</v>
      </c>
      <c r="G100" s="9" t="s">
        <v>7</v>
      </c>
    </row>
    <row r="101" ht="20" customHeight="1" spans="1:7" x14ac:dyDescent="0.25">
      <c r="A101" s="8">
        <v>90</v>
      </c>
      <c r="B101" s="9" t="s">
        <v>120</v>
      </c>
      <c r="C101" s="9" t="s">
        <v>122</v>
      </c>
      <c r="D101" s="8" t="s">
        <v>24</v>
      </c>
      <c r="E101" s="8" t="s">
        <v>25</v>
      </c>
      <c r="F101" s="11" t="s">
        <v>17</v>
      </c>
      <c r="G101" s="9" t="s">
        <v>7</v>
      </c>
    </row>
    <row r="102" ht="20" customHeight="1" spans="1:7" x14ac:dyDescent="0.25">
      <c r="A102" s="8">
        <v>91</v>
      </c>
      <c r="B102" s="9" t="s">
        <v>120</v>
      </c>
      <c r="C102" s="9" t="s">
        <v>123</v>
      </c>
      <c r="D102" s="8" t="s">
        <v>24</v>
      </c>
      <c r="E102" s="8" t="s">
        <v>25</v>
      </c>
      <c r="F102" s="11" t="s">
        <v>17</v>
      </c>
      <c r="G102" s="9" t="s">
        <v>7</v>
      </c>
    </row>
    <row r="103" ht="20" customHeight="1" spans="1:7" x14ac:dyDescent="0.25">
      <c r="A103" s="8">
        <v>92</v>
      </c>
      <c r="B103" s="9" t="s">
        <v>120</v>
      </c>
      <c r="C103" s="9" t="s">
        <v>124</v>
      </c>
      <c r="D103" s="8" t="s">
        <v>24</v>
      </c>
      <c r="E103" s="8" t="s">
        <v>25</v>
      </c>
      <c r="F103" s="12" t="s">
        <v>89</v>
      </c>
      <c r="G103" s="9" t="s">
        <v>7</v>
      </c>
    </row>
    <row r="104" ht="20" customHeight="1" spans="1:7" x14ac:dyDescent="0.25">
      <c r="A104" s="8">
        <v>93</v>
      </c>
      <c r="B104" s="9" t="s">
        <v>120</v>
      </c>
      <c r="C104" s="9" t="s">
        <v>125</v>
      </c>
      <c r="D104" s="8" t="s">
        <v>24</v>
      </c>
      <c r="E104" s="8" t="s">
        <v>25</v>
      </c>
      <c r="F104" s="10" t="s">
        <v>13</v>
      </c>
      <c r="G104" s="9" t="s">
        <v>7</v>
      </c>
    </row>
    <row r="105" ht="20" customHeight="1" spans="1:7" x14ac:dyDescent="0.25">
      <c r="A105" s="8">
        <v>94</v>
      </c>
      <c r="B105" s="9" t="s">
        <v>120</v>
      </c>
      <c r="C105" s="9" t="s">
        <v>126</v>
      </c>
      <c r="D105" s="8" t="s">
        <v>24</v>
      </c>
      <c r="E105" s="8" t="s">
        <v>25</v>
      </c>
      <c r="F105" s="11" t="s">
        <v>17</v>
      </c>
      <c r="G105" s="9" t="s">
        <v>7</v>
      </c>
    </row>
    <row r="106" ht="20" customHeight="1" spans="1:7" x14ac:dyDescent="0.25">
      <c r="A106" s="8">
        <v>95</v>
      </c>
      <c r="B106" s="9" t="s">
        <v>120</v>
      </c>
      <c r="C106" s="9" t="s">
        <v>127</v>
      </c>
      <c r="D106" s="8" t="s">
        <v>24</v>
      </c>
      <c r="E106" s="8" t="s">
        <v>25</v>
      </c>
      <c r="F106" s="11" t="s">
        <v>17</v>
      </c>
      <c r="G106" s="9" t="s">
        <v>7</v>
      </c>
    </row>
    <row r="107" ht="20" customHeight="1" spans="1:7" x14ac:dyDescent="0.25">
      <c r="A107" s="8">
        <v>96</v>
      </c>
      <c r="B107" s="9" t="s">
        <v>120</v>
      </c>
      <c r="C107" s="9" t="s">
        <v>128</v>
      </c>
      <c r="D107" s="8" t="s">
        <v>24</v>
      </c>
      <c r="E107" s="8" t="s">
        <v>25</v>
      </c>
      <c r="F107" s="10" t="s">
        <v>13</v>
      </c>
      <c r="G107" s="9" t="s">
        <v>7</v>
      </c>
    </row>
  </sheetData>
  <autoFilter ref="A1:G107"/>
  <dataValidations count="2">
    <dataValidation type="list" allowBlank="1" sqref="E2:E107">
      <formula1>"Not Started,In Progress,Done,Blocked"</formula1>
    </dataValidation>
    <dataValidation type="list" allowBlank="1" sqref="F2:F107">
      <formula1>"High,Medium,Low"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1" width="28" customWidth="1"/>
    <col min="2" max="3" width="10" customWidth="1"/>
    <col min="4" max="4" width="12" customWidth="1"/>
  </cols>
  <sheetData>
    <row r="1" spans="1:4" x14ac:dyDescent="0.25">
      <c r="A1" s="13" t="s">
        <v>7</v>
      </c>
      <c r="B1" s="13" t="s">
        <v>129</v>
      </c>
      <c r="C1" s="13" t="s">
        <v>130</v>
      </c>
      <c r="D1" s="13" t="s">
        <v>131</v>
      </c>
    </row>
    <row r="2" spans="1:4" x14ac:dyDescent="0.25">
      <c r="A2" s="14" t="s">
        <v>9</v>
      </c>
      <c r="B2" s="15">
        <f>COUNTIF(Tracker!B:B,"Setup")</f>
      </c>
      <c r="C2" s="15">
        <f>COUNTIFS(Tracker!B:B,"Setup",Tracker!E:E,"Done")</f>
      </c>
      <c r="D2" s="16">
        <f>IF(B1=0,0,C1/B1)</f>
      </c>
    </row>
    <row r="3" spans="1:4" x14ac:dyDescent="0.25">
      <c r="A3" s="14" t="s">
        <v>132</v>
      </c>
      <c r="B3" s="15">
        <f>COUNTIF(Tracker!B:B,"Тижд.1")</f>
      </c>
      <c r="C3" s="15">
        <f>COUNTIFS(Tracker!B:B,"Тижд.1",Tracker!E:E,"Done")</f>
      </c>
      <c r="D3" s="16">
        <f>IF(B2=0,0,C2/B2)</f>
      </c>
    </row>
    <row r="4" spans="1:4" x14ac:dyDescent="0.25">
      <c r="A4" s="14" t="s">
        <v>133</v>
      </c>
      <c r="B4" s="15">
        <f>COUNTIF(Tracker!B:B,"Тижд.2")</f>
      </c>
      <c r="C4" s="15">
        <f>COUNTIFS(Tracker!B:B,"Тижд.2",Tracker!E:E,"Done")</f>
      </c>
      <c r="D4" s="16">
        <f>IF(B3=0,0,C3/B3)</f>
      </c>
    </row>
    <row r="5" spans="1:4" x14ac:dyDescent="0.25">
      <c r="A5" s="14" t="s">
        <v>134</v>
      </c>
      <c r="B5" s="15">
        <f>COUNTIF(Tracker!B:B,"Тижд.3")</f>
      </c>
      <c r="C5" s="15">
        <f>COUNTIFS(Tracker!B:B,"Тижд.3",Tracker!E:E,"Done")</f>
      </c>
      <c r="D5" s="16">
        <f>IF(B4=0,0,C4/B4)</f>
      </c>
    </row>
    <row r="6" spans="1:4" x14ac:dyDescent="0.25">
      <c r="A6" s="14" t="s">
        <v>135</v>
      </c>
      <c r="B6" s="15">
        <f>COUNTIF(Tracker!B:B,"Тижд.4")</f>
      </c>
      <c r="C6" s="15">
        <f>COUNTIFS(Tracker!B:B,"Тижд.4",Tracker!E:E,"Done")</f>
      </c>
      <c r="D6" s="16">
        <f>IF(B5=0,0,C5/B5)</f>
      </c>
    </row>
    <row r="7" spans="1:4" x14ac:dyDescent="0.25">
      <c r="A7" s="14" t="s">
        <v>136</v>
      </c>
      <c r="B7" s="15">
        <f>COUNTIF(Tracker!B:B,"Тижд.5")</f>
      </c>
      <c r="C7" s="15">
        <f>COUNTIFS(Tracker!B:B,"Тижд.5",Tracker!E:E,"Done")</f>
      </c>
      <c r="D7" s="16">
        <f>IF(B6=0,0,C6/B6)</f>
      </c>
    </row>
    <row r="8" spans="1:4" x14ac:dyDescent="0.25">
      <c r="A8" s="14" t="s">
        <v>137</v>
      </c>
      <c r="B8" s="15">
        <f>COUNTIF(Tracker!B:B,"Тижд.6")</f>
      </c>
      <c r="C8" s="15">
        <f>COUNTIFS(Tracker!B:B,"Тижд.6",Tracker!E:E,"Done")</f>
      </c>
      <c r="D8" s="16">
        <f>IF(B7=0,0,C7/B7)</f>
      </c>
    </row>
    <row r="9" spans="1:4" x14ac:dyDescent="0.25">
      <c r="A9" s="14" t="s">
        <v>138</v>
      </c>
      <c r="B9" s="15">
        <f>COUNTIF(Tracker!B:B,"Тижд.7")</f>
      </c>
      <c r="C9" s="15">
        <f>COUNTIFS(Tracker!B:B,"Тижд.7",Tracker!E:E,"Done")</f>
      </c>
      <c r="D9" s="16">
        <f>IF(B8=0,0,C8/B8)</f>
      </c>
    </row>
    <row r="10" spans="1:4" x14ac:dyDescent="0.25">
      <c r="A10" s="14" t="s">
        <v>139</v>
      </c>
      <c r="B10" s="15">
        <f>COUNTIF(Tracker!B:B,"Тижд.8-9")</f>
      </c>
      <c r="C10" s="15">
        <f>COUNTIFS(Tracker!B:B,"Тижд.8-9",Tracker!E:E,"Done")</f>
      </c>
      <c r="D10" s="16">
        <f>IF(B9=0,0,C9/B9)</f>
      </c>
    </row>
    <row r="11" spans="1:4" x14ac:dyDescent="0.25">
      <c r="A11" s="14" t="s">
        <v>140</v>
      </c>
      <c r="B11" s="15">
        <f>COUNTIF(Tracker!B:B,"Тижд.10")</f>
      </c>
      <c r="C11" s="15">
        <f>COUNTIFS(Tracker!B:B,"Тижд.10",Tracker!E:E,"Done")</f>
      </c>
      <c r="D11" s="16">
        <f>IF(B10=0,0,C10/B10)</f>
      </c>
    </row>
    <row r="12" spans="1:4" x14ac:dyDescent="0.25">
      <c r="A12" s="17" t="s">
        <v>141</v>
      </c>
      <c r="B12" s="17">
        <f>SUM(B2:B11)</f>
      </c>
      <c r="C12" s="17">
        <f>SUM(C2:C11)</f>
      </c>
      <c r="D12" s="18">
        <f>IF(B12=0,0,C12/B12)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Tracker</vt:lpstr>
      <vt:lpstr>Progress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2026-03-17T18:47:04Z</dcterms:created>
  <dcterms:modified xsi:type="dcterms:W3CDTF">2026-03-17T18:47:04Z</dcterms:modified>
</cp:coreProperties>
</file>